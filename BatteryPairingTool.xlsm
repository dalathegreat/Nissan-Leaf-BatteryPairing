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s001\Dropbox\Dala's EV Repair\Technical\Pairing\"/>
    </mc:Choice>
  </mc:AlternateContent>
  <xr:revisionPtr revIDLastSave="0" documentId="8_{99D65EA0-614C-4C41-9333-A43D51473FD9}" xr6:coauthVersionLast="45" xr6:coauthVersionMax="45" xr10:uidLastSave="{00000000-0000-0000-0000-000000000000}"/>
  <bookViews>
    <workbookView xWindow="5805" yWindow="1740" windowWidth="15540" windowHeight="13005" xr2:uid="{6696FA19-F3D2-4337-B7C9-FA47665DAE9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6" i="1" l="1"/>
  <c r="I6" i="1"/>
  <c r="I8" i="1" s="1"/>
  <c r="E11" i="1" s="1"/>
  <c r="H6" i="1"/>
  <c r="H8" i="1" s="1"/>
  <c r="D11" i="1" s="1"/>
  <c r="G6" i="1"/>
  <c r="G8" i="1" s="1"/>
  <c r="C11" i="1" s="1"/>
  <c r="F6" i="1"/>
  <c r="F8" i="1" s="1"/>
  <c r="B11" i="1" s="1"/>
  <c r="G11" i="1" s="1"/>
  <c r="E6" i="1"/>
  <c r="E8" i="1" s="1"/>
  <c r="E10" i="1" s="1"/>
  <c r="D6" i="1"/>
  <c r="D8" i="1" s="1"/>
  <c r="C6" i="1"/>
  <c r="C8" i="1" s="1"/>
  <c r="C10" i="1" s="1"/>
  <c r="B6" i="1"/>
  <c r="B8" i="1" s="1"/>
  <c r="B10" i="1" s="1"/>
  <c r="D10" i="1" l="1"/>
  <c r="G10" i="1" s="1"/>
</calcChain>
</file>

<file path=xl/sharedStrings.xml><?xml version="1.0" encoding="utf-8"?>
<sst xmlns="http://schemas.openxmlformats.org/spreadsheetml/2006/main" count="48" uniqueCount="41">
  <si>
    <t>Data</t>
  </si>
  <si>
    <t>ParserFlags</t>
  </si>
  <si>
    <t>Ch</t>
  </si>
  <si>
    <t>Counter</t>
  </si>
  <si>
    <t>T/R</t>
  </si>
  <si>
    <t>Time</t>
  </si>
  <si>
    <t>Flags</t>
  </si>
  <si>
    <t>CAN ID</t>
  </si>
  <si>
    <t>Len</t>
  </si>
  <si>
    <t>Parser Name</t>
  </si>
  <si>
    <t>default</t>
  </si>
  <si>
    <t>TX</t>
  </si>
  <si>
    <t>Default Parser</t>
  </si>
  <si>
    <t xml:space="preserve">0x30 00 00 00 00 00 00 00 </t>
  </si>
  <si>
    <t>Step: 1</t>
  </si>
  <si>
    <t>&lt;-Enter Battery ID (Taken from Leafspy  PRO BETA)</t>
  </si>
  <si>
    <t>Code1_0</t>
  </si>
  <si>
    <t>Code2_0</t>
  </si>
  <si>
    <t>Code1_1</t>
  </si>
  <si>
    <t>Code2_1</t>
  </si>
  <si>
    <t>Code1_2</t>
  </si>
  <si>
    <t>Code2_2</t>
  </si>
  <si>
    <t>Code1_3</t>
  </si>
  <si>
    <t>Code2_3</t>
  </si>
  <si>
    <t>Individual ASCII characters</t>
  </si>
  <si>
    <t>Decimal values:</t>
  </si>
  <si>
    <t>Hex values to be put into CAN message</t>
  </si>
  <si>
    <t>CAN messages with ID</t>
  </si>
  <si>
    <t>Step: 2</t>
  </si>
  <si>
    <t>Press this button to generate a .log file for your Nissan LEAF</t>
  </si>
  <si>
    <t xml:space="preserve"> </t>
  </si>
  <si>
    <t xml:space="preserve"> 00 00 00</t>
  </si>
  <si>
    <t>0x00000797</t>
  </si>
  <si>
    <t xml:space="preserve">0x21 </t>
  </si>
  <si>
    <t xml:space="preserve">0x10 0a 3b 1f </t>
  </si>
  <si>
    <t>Step: 3</t>
  </si>
  <si>
    <t>Playback the .log file onto CAR-CAN on the OBD2 port, using CANrunner and a suitable CAN transmitter</t>
  </si>
  <si>
    <t>BC110298</t>
  </si>
  <si>
    <t>0x10 0a 3b 1f 42 43 31 31</t>
  </si>
  <si>
    <t>0x21 30 32 39 38 00 00 00</t>
  </si>
  <si>
    <t>BatteryPairing code generator v1.1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</si>
</sst>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A933"/>
        <bgColor rgb="FF00A933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0" xfId="0" applyFill="1"/>
    <xf numFmtId="0" fontId="3" fillId="0" borderId="0" xfId="0" applyFont="1"/>
    <xf numFmtId="0" fontId="1" fillId="0" borderId="0" xfId="0" applyFont="1"/>
    <xf numFmtId="0" fontId="0" fillId="3" borderId="0" xfId="0" applyFill="1"/>
    <xf numFmtId="0" fontId="0" fillId="0" borderId="0" xfId="0" applyFont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76200</xdr:rowOff>
        </xdr:from>
        <xdr:to>
          <xdr:col>3</xdr:col>
          <xdr:colOff>85725</xdr:colOff>
          <xdr:row>15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3C791-ABF2-4F37-8A78-F0EF7F061D19}">
  <sheetPr codeName="Sheet1"/>
  <dimension ref="A1:M57"/>
  <sheetViews>
    <sheetView tabSelected="1" zoomScale="160" zoomScaleNormal="160" workbookViewId="0">
      <selection activeCell="D3" sqref="D3"/>
    </sheetView>
  </sheetViews>
  <sheetFormatPr defaultRowHeight="15" x14ac:dyDescent="0.25"/>
  <cols>
    <col min="5" max="5" width="10.5703125" bestFit="1" customWidth="1"/>
  </cols>
  <sheetData>
    <row r="1" spans="1:9" x14ac:dyDescent="0.25">
      <c r="A1" s="7" t="s">
        <v>40</v>
      </c>
      <c r="B1" s="7"/>
      <c r="C1" s="7"/>
      <c r="D1" s="7"/>
      <c r="E1" s="7"/>
      <c r="F1" s="7"/>
      <c r="G1" s="7"/>
      <c r="H1" s="7"/>
    </row>
    <row r="2" spans="1:9" x14ac:dyDescent="0.25">
      <c r="A2" s="7"/>
      <c r="B2" s="7"/>
      <c r="C2" s="7"/>
      <c r="D2" s="7"/>
      <c r="E2" s="7"/>
      <c r="F2" s="7"/>
      <c r="G2" s="7"/>
      <c r="H2" s="7"/>
    </row>
    <row r="3" spans="1:9" x14ac:dyDescent="0.25">
      <c r="A3" s="4" t="s">
        <v>14</v>
      </c>
      <c r="B3" s="1" t="s">
        <v>37</v>
      </c>
      <c r="C3" s="2" t="s">
        <v>15</v>
      </c>
      <c r="D3" s="2"/>
      <c r="E3" s="2"/>
      <c r="F3" s="2"/>
      <c r="G3" s="2"/>
    </row>
    <row r="4" spans="1:9" x14ac:dyDescent="0.25">
      <c r="B4" t="s">
        <v>16</v>
      </c>
      <c r="C4" t="s">
        <v>17</v>
      </c>
      <c r="D4" t="s">
        <v>18</v>
      </c>
      <c r="E4" t="s">
        <v>19</v>
      </c>
      <c r="F4" t="s">
        <v>20</v>
      </c>
      <c r="G4" t="s">
        <v>21</v>
      </c>
      <c r="H4" t="s">
        <v>22</v>
      </c>
      <c r="I4" t="s">
        <v>23</v>
      </c>
    </row>
    <row r="5" spans="1:9" x14ac:dyDescent="0.25">
      <c r="B5" t="s">
        <v>24</v>
      </c>
    </row>
    <row r="6" spans="1:9" x14ac:dyDescent="0.25">
      <c r="B6" t="str">
        <f>MID($B3, COLUMNS($B$3:B$3), 1)</f>
        <v>B</v>
      </c>
      <c r="C6" t="str">
        <f>MID($B3, COLUMNS($B$3:C$3), 1)</f>
        <v>C</v>
      </c>
      <c r="D6" t="str">
        <f>MID($B3, COLUMNS($B$3:D$3), 1)</f>
        <v>1</v>
      </c>
      <c r="E6" t="str">
        <f>MID($B3, COLUMNS($B$3:E$3), 1)</f>
        <v>1</v>
      </c>
      <c r="F6" t="str">
        <f>MID($B3, COLUMNS($B$3:F$3), 1)</f>
        <v>0</v>
      </c>
      <c r="G6" t="str">
        <f>MID($B3, COLUMNS($B$3:G$3), 1)</f>
        <v>2</v>
      </c>
      <c r="H6" t="str">
        <f>MID($B3, COLUMNS($B$3:H$3), 1)</f>
        <v>9</v>
      </c>
      <c r="I6" t="str">
        <f>MID($B3, COLUMNS($B$3:I$3), 1)</f>
        <v>8</v>
      </c>
    </row>
    <row r="7" spans="1:9" x14ac:dyDescent="0.25">
      <c r="B7" t="s">
        <v>25</v>
      </c>
    </row>
    <row r="8" spans="1:9" x14ac:dyDescent="0.25">
      <c r="B8">
        <f t="shared" ref="B8:I8" si="0">CODE(B6)</f>
        <v>66</v>
      </c>
      <c r="C8">
        <f t="shared" si="0"/>
        <v>67</v>
      </c>
      <c r="D8">
        <f t="shared" si="0"/>
        <v>49</v>
      </c>
      <c r="E8">
        <f t="shared" si="0"/>
        <v>49</v>
      </c>
      <c r="F8">
        <f t="shared" si="0"/>
        <v>48</v>
      </c>
      <c r="G8">
        <f t="shared" si="0"/>
        <v>50</v>
      </c>
      <c r="H8">
        <f t="shared" si="0"/>
        <v>57</v>
      </c>
      <c r="I8">
        <f t="shared" si="0"/>
        <v>56</v>
      </c>
    </row>
    <row r="9" spans="1:9" x14ac:dyDescent="0.25">
      <c r="B9" t="s">
        <v>26</v>
      </c>
      <c r="G9" t="s">
        <v>27</v>
      </c>
    </row>
    <row r="10" spans="1:9" x14ac:dyDescent="0.25">
      <c r="B10" t="str">
        <f>DEC2HEX(B8)</f>
        <v>42</v>
      </c>
      <c r="C10" t="str">
        <f>DEC2HEX(C8)</f>
        <v>43</v>
      </c>
      <c r="D10" t="str">
        <f>DEC2HEX(D8)</f>
        <v>31</v>
      </c>
      <c r="E10" t="str">
        <f>DEC2HEX(E8)</f>
        <v>31</v>
      </c>
      <c r="G10" t="str">
        <f>_xlfn.CONCAT(I31,B10,K31,C10,K31,D10,K31,E10)</f>
        <v>0x10 0a 3b 1f 42 43 31 31</v>
      </c>
    </row>
    <row r="11" spans="1:9" x14ac:dyDescent="0.25">
      <c r="B11" t="str">
        <f>DEC2HEX(F8)</f>
        <v>30</v>
      </c>
      <c r="C11" t="str">
        <f>DEC2HEX(G8)</f>
        <v>32</v>
      </c>
      <c r="D11" t="str">
        <f>DEC2HEX(H8)</f>
        <v>39</v>
      </c>
      <c r="E11" t="str">
        <f>DEC2HEX(I8)</f>
        <v>38</v>
      </c>
      <c r="G11" t="str">
        <f>_xlfn.CONCAT(I32,B11,K32,C11,K32,D11,K32,E11,I33)</f>
        <v>0x21 30 32 39 38 00 00 00</v>
      </c>
    </row>
    <row r="13" spans="1:9" x14ac:dyDescent="0.25">
      <c r="A13" s="4" t="s">
        <v>28</v>
      </c>
      <c r="B13" s="2" t="s">
        <v>29</v>
      </c>
      <c r="C13" s="2"/>
      <c r="D13" s="2"/>
      <c r="E13" s="2"/>
      <c r="F13" s="2"/>
      <c r="G13" s="2"/>
    </row>
    <row r="17" spans="1:11" x14ac:dyDescent="0.25">
      <c r="A17" s="4" t="s">
        <v>35</v>
      </c>
      <c r="B17" s="5" t="s">
        <v>36</v>
      </c>
      <c r="C17" s="5"/>
      <c r="D17" s="5"/>
      <c r="E17" s="5"/>
      <c r="F17" s="5"/>
      <c r="G17" s="5"/>
      <c r="H17" s="5"/>
      <c r="I17" s="5"/>
      <c r="J17" s="5"/>
      <c r="K17" s="5"/>
    </row>
    <row r="30" spans="1:11" x14ac:dyDescent="0.25">
      <c r="I30" s="3"/>
    </row>
    <row r="31" spans="1:11" x14ac:dyDescent="0.25">
      <c r="I31" s="3" t="s">
        <v>34</v>
      </c>
      <c r="K31" t="s">
        <v>30</v>
      </c>
    </row>
    <row r="32" spans="1:11" x14ac:dyDescent="0.25">
      <c r="I32" s="3" t="s">
        <v>33</v>
      </c>
      <c r="K32" t="s">
        <v>30</v>
      </c>
    </row>
    <row r="33" spans="1:13" x14ac:dyDescent="0.25">
      <c r="I33" s="3" t="s">
        <v>31</v>
      </c>
    </row>
    <row r="34" spans="1:13" x14ac:dyDescent="0.25">
      <c r="I34" s="3"/>
    </row>
    <row r="35" spans="1:13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1:13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 t="str">
        <f>_xlfn.CONCAT(R30,K32, L32, M32, N32)</f>
        <v xml:space="preserve"> </v>
      </c>
      <c r="L36" s="6"/>
      <c r="M36" s="6"/>
    </row>
    <row r="37" spans="1:13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1:13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1:13" x14ac:dyDescent="0.25">
      <c r="A40" s="6" t="s">
        <v>1</v>
      </c>
      <c r="B40" s="6" t="s">
        <v>2</v>
      </c>
      <c r="C40" s="6" t="s">
        <v>3</v>
      </c>
      <c r="D40" s="6" t="s">
        <v>4</v>
      </c>
      <c r="E40" s="6" t="s">
        <v>5</v>
      </c>
      <c r="F40" s="6" t="s">
        <v>6</v>
      </c>
      <c r="G40" s="6" t="s">
        <v>7</v>
      </c>
      <c r="H40" s="6" t="s">
        <v>8</v>
      </c>
      <c r="I40" s="6" t="s">
        <v>0</v>
      </c>
      <c r="J40" s="6" t="s">
        <v>9</v>
      </c>
      <c r="K40" s="6" t="s">
        <v>10</v>
      </c>
      <c r="L40" s="6"/>
      <c r="M40" s="6"/>
    </row>
    <row r="41" spans="1:13" x14ac:dyDescent="0.25">
      <c r="A41" s="6">
        <v>1</v>
      </c>
      <c r="B41" s="6">
        <v>0</v>
      </c>
      <c r="C41" s="6">
        <v>13</v>
      </c>
      <c r="D41" s="6" t="s">
        <v>11</v>
      </c>
      <c r="E41" s="6">
        <v>217652184</v>
      </c>
      <c r="F41" s="6"/>
      <c r="G41" s="6" t="s">
        <v>32</v>
      </c>
      <c r="H41" s="6">
        <v>8</v>
      </c>
      <c r="I41" s="6" t="s">
        <v>13</v>
      </c>
      <c r="J41" s="6" t="s">
        <v>12</v>
      </c>
      <c r="K41" s="6"/>
      <c r="L41" s="6"/>
      <c r="M41" s="6"/>
    </row>
    <row r="42" spans="1:13" x14ac:dyDescent="0.25">
      <c r="A42" s="6">
        <v>1</v>
      </c>
      <c r="B42" s="6">
        <v>0</v>
      </c>
      <c r="C42" s="6">
        <v>14</v>
      </c>
      <c r="D42" s="6" t="s">
        <v>11</v>
      </c>
      <c r="E42" s="6">
        <v>217652698</v>
      </c>
      <c r="F42" s="6"/>
      <c r="G42" s="6" t="s">
        <v>32</v>
      </c>
      <c r="H42" s="6">
        <v>8</v>
      </c>
      <c r="I42" s="6" t="s">
        <v>38</v>
      </c>
      <c r="J42" s="6" t="s">
        <v>12</v>
      </c>
      <c r="K42" s="6"/>
      <c r="L42" s="6"/>
      <c r="M42" s="6"/>
    </row>
    <row r="43" spans="1:13" x14ac:dyDescent="0.25">
      <c r="A43" s="6">
        <v>1</v>
      </c>
      <c r="B43" s="6">
        <v>0</v>
      </c>
      <c r="C43" s="6">
        <v>15</v>
      </c>
      <c r="D43" s="6" t="s">
        <v>11</v>
      </c>
      <c r="E43" s="6">
        <v>217653114</v>
      </c>
      <c r="F43" s="6"/>
      <c r="G43" s="6" t="s">
        <v>32</v>
      </c>
      <c r="H43" s="6">
        <v>8</v>
      </c>
      <c r="I43" s="6" t="s">
        <v>39</v>
      </c>
      <c r="J43" s="6" t="s">
        <v>12</v>
      </c>
      <c r="K43" s="6"/>
      <c r="L43" s="6"/>
      <c r="M43" s="6"/>
    </row>
    <row r="44" spans="1:1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1:1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1:13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1:13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1:13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1:13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1:13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1:13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1:13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1:13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1:13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1:13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</sheetData>
  <mergeCells count="1">
    <mergeCell ref="A1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RangetoFile">
                <anchor moveWithCells="1" sizeWithCells="1">
                  <from>
                    <xdr:col>1</xdr:col>
                    <xdr:colOff>47625</xdr:colOff>
                    <xdr:row>13</xdr:row>
                    <xdr:rowOff>76200</xdr:rowOff>
                  </from>
                  <to>
                    <xdr:col>3</xdr:col>
                    <xdr:colOff>85725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CC5E2-9CD8-4B15-A18C-22422AE7A585}">
  <sheetPr codeName="Sheet2"/>
  <dimension ref="A1"/>
  <sheetViews>
    <sheetView workbookViewId="0">
      <selection activeCell="B3" sqref="B3:L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Öster, Daniel</dc:creator>
  <cp:lastModifiedBy>Öster, Daniel</cp:lastModifiedBy>
  <dcterms:created xsi:type="dcterms:W3CDTF">2021-03-05T06:58:36Z</dcterms:created>
  <dcterms:modified xsi:type="dcterms:W3CDTF">2021-03-14T17:44:28Z</dcterms:modified>
</cp:coreProperties>
</file>